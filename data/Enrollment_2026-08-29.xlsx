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547CAD62-2472-4A45-AD58-8828AB6DA4C6}" xr6:coauthVersionLast="47" xr6:coauthVersionMax="47" xr10:uidLastSave="{00000000-0000-0000-0000-000000000000}"/>
  <bookViews>
    <workbookView xWindow="11060" yWindow="15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9" i="1"/>
  <c r="G8" i="1"/>
  <c r="G7" i="1"/>
  <c r="G6" i="1"/>
  <c r="G5" i="1"/>
  <c r="G4" i="1"/>
  <c r="N9" i="1"/>
  <c r="N8" i="1"/>
  <c r="N7" i="1"/>
  <c r="N6" i="1"/>
  <c r="N5" i="1"/>
  <c r="N4" i="1"/>
  <c r="N3" i="1"/>
  <c r="F10" i="1"/>
  <c r="G10" i="1" s="1"/>
  <c r="E10" i="1"/>
  <c r="J5" i="1"/>
  <c r="D5" i="1"/>
  <c r="M5" i="1" s="1"/>
  <c r="L10" i="1"/>
  <c r="O10" i="1" s="1"/>
  <c r="I10" i="1"/>
  <c r="H10" i="1"/>
  <c r="C10" i="1"/>
  <c r="B10" i="1"/>
  <c r="J9" i="1"/>
  <c r="J8" i="1"/>
  <c r="J7" i="1"/>
  <c r="J6" i="1"/>
  <c r="J4" i="1"/>
  <c r="J3" i="1"/>
  <c r="D9" i="1"/>
  <c r="M9" i="1" s="1"/>
  <c r="D8" i="1"/>
  <c r="M8" i="1" s="1"/>
  <c r="D7" i="1"/>
  <c r="M7" i="1" s="1"/>
  <c r="D6" i="1"/>
  <c r="M6" i="1" s="1"/>
  <c r="D4" i="1"/>
  <c r="M4" i="1" s="1"/>
  <c r="D3" i="1"/>
  <c r="M3" i="1" s="1"/>
  <c r="N10" i="1" l="1"/>
  <c r="M10" i="1"/>
  <c r="J10" i="1"/>
  <c r="D10" i="1"/>
  <c r="O11" i="1" s="1"/>
</calcChain>
</file>

<file path=xl/sharedStrings.xml><?xml version="1.0" encoding="utf-8"?>
<sst xmlns="http://schemas.openxmlformats.org/spreadsheetml/2006/main" count="22" uniqueCount="22">
  <si>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</si>
  <si>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</si>
  <si>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</si>
  <si>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</si>
  <si>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</si>
  <si>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</si>
  <si>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</si>
  <si>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</si>
  <si>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</si>
  <si>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</si>
  <si>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</si>
  <si>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</si>
  <si>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</si>
  <si>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</si>
  <si>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>Buffer</t>
  </si>
  <si>
    <t>DSS</t>
  </si>
  <si>
    <t>Enrolled (Summer)</t>
  </si>
  <si>
    <t xml:space="preserve">Enrolled (Fall) </t>
  </si>
  <si>
    <t>Variance from marticulated</t>
  </si>
  <si>
    <t>Variance to target from enrolled</t>
  </si>
  <si>
    <t>Total Enrolled - FY27</t>
  </si>
  <si>
    <t>Date: 2026-08-29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</si>
</sst>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O11"/>
  <sheetViews>
    <sheetView tabSelected="1" workbookViewId="0">
      <selection activeCell="F10" sqref="F10"/>
    </sheetView>
  </sheetViews>
  <sheetFormatPr baseColWidth="10" defaultRowHeight="16" x14ac:dyDescent="0.2"/>
  <cols>
    <col min="2" max="2" width="11.33203125" customWidth="1"/>
    <col min="3" max="7" width="11.5" customWidth="1"/>
    <col min="8" max="8" width="12.5" customWidth="1"/>
    <col min="10" max="10" width="14.33203125" customWidth="1"/>
    <col min="11" max="11" width="0.6640625" customWidth="1"/>
  </cols>
  <sheetData>
    <row r="1" spans="1:15" s="1" customFormat="1" x14ac:dyDescent="0.2">
      <c r="A1" s="1" t="s">
        <v>21</v>
      </c>
    </row>
    <row r="2" spans="1:15" ht="68" x14ac:dyDescent="0.2">
      <c r="A2" s="4"/>
      <c r="B2" s="5" t="s">
        <v>6</v>
      </c>
      <c r="C2" s="5" t="s">
        <v>8</v>
      </c>
      <c r="D2" s="6" t="s">
        <v>7</v>
      </c>
      <c r="E2" s="5" t="s">
        <v>16</v>
      </c>
      <c r="F2" s="5" t="s">
        <v>17</v>
      </c>
      <c r="G2" s="5" t="s">
        <v>20</v>
      </c>
      <c r="H2" s="5" t="s">
        <v>9</v>
      </c>
      <c r="I2" s="5" t="s">
        <v>11</v>
      </c>
      <c r="J2" s="5" t="s">
        <v>10</v>
      </c>
      <c r="K2" s="4"/>
      <c r="L2" s="5" t="s">
        <v>13</v>
      </c>
      <c r="M2" s="6" t="s">
        <v>18</v>
      </c>
      <c r="N2" s="14" t="s">
        <v>19</v>
      </c>
      <c r="O2" s="12" t="s">
        <v>14</v>
      </c>
    </row>
    <row r="3" spans="1:15" x14ac:dyDescent="0.2">
      <c r="A3" s="1" t="s">
        <v>0</v>
      </c>
      <c r="B3" s="3">
        <v>1</v>
      </c>
      <c r="C3" s="3">
        <v>13</v>
      </c>
      <c r="D3" s="2">
        <f t="shared" ref="D3:D9" si="0">SUM(B3:C3)</f>
        <v>14</v>
      </c>
      <c r="E3" s="3">
        <v>1</v>
      </c>
      <c r="F3" s="3">
        <v>13</v>
      </c>
      <c r="G3" s="13">
        <f>SUM(E3:F3)</f>
        <v>14</v>
      </c>
      <c r="H3" s="3">
        <v>5</v>
      </c>
      <c r="I3" s="3">
        <v>3</v>
      </c>
      <c r="J3" s="3">
        <f t="shared" ref="J3:J9" si="1">SUM(H3:I3)</f>
        <v>8</v>
      </c>
      <c r="L3" s="3">
        <v>13</v>
      </c>
      <c r="M3" s="2">
        <f>D3-L3</f>
        <v>1</v>
      </c>
      <c r="N3" s="2">
        <f>SUM(E3:F3)-L3</f>
        <v>1</v>
      </c>
    </row>
    <row r="4" spans="1:15" x14ac:dyDescent="0.2">
      <c r="A4" s="1" t="s">
        <v>5</v>
      </c>
      <c r="B4" s="3">
        <v>12</v>
      </c>
      <c r="C4" s="3">
        <v>0</v>
      </c>
      <c r="D4" s="2">
        <f t="shared" si="0"/>
        <v>12</v>
      </c>
      <c r="E4" s="3">
        <v>12</v>
      </c>
      <c r="F4" s="3">
        <v>0</v>
      </c>
      <c r="G4" s="13">
        <f t="shared" ref="G4:G9" si="2">SUM(E4:F4)</f>
        <v>12</v>
      </c>
      <c r="H4" s="3">
        <v>3</v>
      </c>
      <c r="I4" s="3">
        <v>0</v>
      </c>
      <c r="J4" s="3">
        <f t="shared" si="1"/>
        <v>3</v>
      </c>
      <c r="L4" s="3">
        <v>10</v>
      </c>
      <c r="M4" s="2">
        <f t="shared" ref="M4:M9" si="3">D4-L4</f>
        <v>2</v>
      </c>
      <c r="N4" s="2">
        <f t="shared" ref="N4:N10" si="4">SUM(E4:F4)-L4</f>
        <v>2</v>
      </c>
    </row>
    <row r="5" spans="1:15" x14ac:dyDescent="0.2">
      <c r="A5" s="1" t="s">
        <v>15</v>
      </c>
      <c r="B5" s="3">
        <v>0</v>
      </c>
      <c r="C5" s="3">
        <v>38</v>
      </c>
      <c r="D5" s="2">
        <f t="shared" si="0"/>
        <v>38</v>
      </c>
      <c r="E5" s="3">
        <v>0</v>
      </c>
      <c r="F5" s="3">
        <v>38</v>
      </c>
      <c r="G5" s="13">
        <f t="shared" si="2"/>
        <v>38</v>
      </c>
      <c r="H5" s="3">
        <v>0</v>
      </c>
      <c r="I5" s="3">
        <v>7</v>
      </c>
      <c r="J5" s="3">
        <f t="shared" si="1"/>
        <v>7</v>
      </c>
      <c r="L5" s="3">
        <v>0</v>
      </c>
      <c r="M5" s="2">
        <f t="shared" si="3"/>
        <v>38</v>
      </c>
      <c r="N5" s="2">
        <f t="shared" si="4"/>
        <v>38</v>
      </c>
    </row>
    <row r="6" spans="1:15" x14ac:dyDescent="0.2">
      <c r="A6" s="1" t="s">
        <v>1</v>
      </c>
      <c r="B6" s="3">
        <v>0</v>
      </c>
      <c r="C6" s="3">
        <v>52</v>
      </c>
      <c r="D6" s="2">
        <f t="shared" si="0"/>
        <v>52</v>
      </c>
      <c r="E6" s="3">
        <v>0</v>
      </c>
      <c r="F6" s="3">
        <v>52</v>
      </c>
      <c r="G6" s="13">
        <f t="shared" si="2"/>
        <v>52</v>
      </c>
      <c r="H6" s="3">
        <v>0</v>
      </c>
      <c r="I6" s="3">
        <v>4</v>
      </c>
      <c r="J6" s="3">
        <f t="shared" si="1"/>
        <v>4</v>
      </c>
      <c r="L6" s="3">
        <v>60</v>
      </c>
      <c r="M6" s="2">
        <f t="shared" si="3"/>
        <v>-8</v>
      </c>
      <c r="N6" s="2">
        <f t="shared" si="4"/>
        <v>-8</v>
      </c>
    </row>
    <row r="7" spans="1:15" x14ac:dyDescent="0.2">
      <c r="A7" s="1" t="s">
        <v>2</v>
      </c>
      <c r="B7" s="3">
        <v>1</v>
      </c>
      <c r="C7" s="3">
        <v>5</v>
      </c>
      <c r="D7" s="2">
        <f t="shared" si="0"/>
        <v>6</v>
      </c>
      <c r="E7" s="3">
        <v>0</v>
      </c>
      <c r="F7" s="3">
        <v>5</v>
      </c>
      <c r="G7" s="13">
        <f t="shared" si="2"/>
        <v>5</v>
      </c>
      <c r="H7" s="3">
        <v>0</v>
      </c>
      <c r="I7" s="3">
        <v>3</v>
      </c>
      <c r="J7" s="3">
        <f t="shared" si="1"/>
        <v>3</v>
      </c>
      <c r="L7" s="3">
        <v>13</v>
      </c>
      <c r="M7" s="2">
        <f t="shared" si="3"/>
        <v>-7</v>
      </c>
      <c r="N7" s="2">
        <f t="shared" si="4"/>
        <v>-8</v>
      </c>
    </row>
    <row r="8" spans="1:15" x14ac:dyDescent="0.2">
      <c r="A8" s="1" t="s">
        <v>3</v>
      </c>
      <c r="B8" s="3">
        <v>7</v>
      </c>
      <c r="C8" s="3">
        <v>8</v>
      </c>
      <c r="D8" s="2">
        <f t="shared" si="0"/>
        <v>15</v>
      </c>
      <c r="E8" s="3">
        <v>7</v>
      </c>
      <c r="F8" s="3">
        <v>8</v>
      </c>
      <c r="G8" s="13">
        <f t="shared" si="2"/>
        <v>15</v>
      </c>
      <c r="H8" s="3">
        <v>1</v>
      </c>
      <c r="I8" s="3">
        <v>1</v>
      </c>
      <c r="J8" s="3">
        <f t="shared" si="1"/>
        <v>2</v>
      </c>
      <c r="L8" s="3">
        <v>18</v>
      </c>
      <c r="M8" s="2">
        <f t="shared" si="3"/>
        <v>-3</v>
      </c>
      <c r="N8" s="2">
        <f t="shared" si="4"/>
        <v>-3</v>
      </c>
    </row>
    <row r="9" spans="1:15" x14ac:dyDescent="0.2">
      <c r="A9" s="1" t="s">
        <v>4</v>
      </c>
      <c r="B9" s="3">
        <v>3</v>
      </c>
      <c r="C9" s="3">
        <v>24</v>
      </c>
      <c r="D9" s="2">
        <f t="shared" si="0"/>
        <v>27</v>
      </c>
      <c r="E9" s="3">
        <v>3</v>
      </c>
      <c r="F9" s="3">
        <v>24</v>
      </c>
      <c r="G9" s="13">
        <f t="shared" si="2"/>
        <v>27</v>
      </c>
      <c r="H9" s="3">
        <v>2</v>
      </c>
      <c r="I9" s="3">
        <v>15</v>
      </c>
      <c r="J9" s="3">
        <f t="shared" si="1"/>
        <v>17</v>
      </c>
      <c r="L9" s="3">
        <v>25</v>
      </c>
      <c r="M9" s="2">
        <f t="shared" si="3"/>
        <v>2</v>
      </c>
      <c r="N9" s="2">
        <f t="shared" si="4"/>
        <v>2</v>
      </c>
    </row>
    <row r="10" spans="1:15" x14ac:dyDescent="0.2">
      <c r="A10" s="7" t="s">
        <v>12</v>
      </c>
      <c r="B10" s="8">
        <f t="shared" ref="B10:J10" si="5">SUM(B3:B9)</f>
        <v>24</v>
      </c>
      <c r="C10" s="8">
        <f t="shared" si="5"/>
        <v>140</v>
      </c>
      <c r="D10" s="9">
        <f t="shared" si="5"/>
        <v>164</v>
      </c>
      <c r="E10" s="8">
        <f>SUM(E3:E9)</f>
        <v>23</v>
      </c>
      <c r="F10" s="8">
        <f>SUM(F3:F9)</f>
        <v>140</v>
      </c>
      <c r="G10" s="9">
        <f>SUM(E10:F10)</f>
        <v>163</v>
      </c>
      <c r="H10" s="8">
        <f t="shared" si="5"/>
        <v>11</v>
      </c>
      <c r="I10" s="8">
        <f t="shared" si="5"/>
        <v>33</v>
      </c>
      <c r="J10" s="8">
        <f t="shared" si="5"/>
        <v>44</v>
      </c>
      <c r="K10" s="10"/>
      <c r="L10" s="8">
        <f>SUM(L3:L9)</f>
        <v>139</v>
      </c>
      <c r="M10" s="9">
        <f>SUM(M3:M9)</f>
        <v>25</v>
      </c>
      <c r="N10" s="15">
        <f t="shared" si="4"/>
        <v>24</v>
      </c>
      <c r="O10" s="11">
        <f>L10*1.3</f>
        <v>180.70000000000002</v>
      </c>
    </row>
    <row r="11" spans="1:15" x14ac:dyDescent="0.2">
      <c r="O11" s="13">
        <f>O10-D10</f>
        <v>16.700000000000017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2026-08-29T14:24:07Z</dcterms:modified>
</cp:coreProperties>
</file>