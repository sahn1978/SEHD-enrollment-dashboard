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oyeonahn/Library/CloudStorage/GoogleDrive-s.ahn@miami.edu/My Drive/SEHD_VD/Academic affairs/Graduate Enrollment/"/>
    </mc:Choice>
  </mc:AlternateContent>
  <xr:revisionPtr revIDLastSave="0" documentId="13_ncr:1_{0EDFBBF1-6623-6B4A-9F19-B812704B312F}" xr6:coauthVersionLast="47" xr6:coauthVersionMax="47" xr10:uidLastSave="{00000000-0000-0000-0000-000000000000}"/>
  <bookViews>
    <workbookView xWindow="0" yWindow="920" windowWidth="36000" windowHeight="21560" xr2:uid="{2DAD95BE-F879-D340-BEDF-B079FDCBFA4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9" i="1" l="1"/>
  <c r="K9" i="1" s="1"/>
  <c r="F9" i="1"/>
  <c r="E9" i="1"/>
  <c r="C9" i="1"/>
  <c r="B9" i="1"/>
  <c r="G8" i="1"/>
  <c r="G7" i="1"/>
  <c r="G6" i="1"/>
  <c r="G5" i="1"/>
  <c r="G4" i="1"/>
  <c r="G3" i="1"/>
  <c r="D8" i="1"/>
  <c r="J8" i="1" s="1"/>
  <c r="D7" i="1"/>
  <c r="J7" i="1" s="1"/>
  <c r="D6" i="1"/>
  <c r="J6" i="1" s="1"/>
  <c r="D5" i="1"/>
  <c r="J5" i="1" s="1"/>
  <c r="D4" i="1"/>
  <c r="J4" i="1" s="1"/>
  <c r="D3" i="1"/>
  <c r="J3" i="1" s="1"/>
  <c r="J9" i="1" l="1"/>
  <c r="G9" i="1"/>
  <c r="D9" i="1"/>
  <c r="K10" i="1" s="1"/>
</calcChain>
</file>

<file path=xl/sharedStrings.xml><?xml version="1.0" encoding="utf-8"?>
<sst xmlns="http://schemas.openxmlformats.org/spreadsheetml/2006/main" count="17" uniqueCount="17">
  <si>
    <t>APPH</t>
  </si>
  <si>
    <t>CNSM</t>
  </si>
  <si>
    <t>HE MSED</t>
  </si>
  <si>
    <t>HE EdD</t>
  </si>
  <si>
    <t>SADM</t>
  </si>
  <si>
    <t>AT</t>
  </si>
  <si>
    <t>Matriculated (Summer)</t>
  </si>
  <si>
    <t>Total Matriculated - FY27</t>
  </si>
  <si>
    <t>Matriculated (Fall)</t>
  </si>
  <si>
    <t>Admitted but not matriculated (Summer)</t>
  </si>
  <si>
    <t>Total Admitted but not matriculated in FY27</t>
  </si>
  <si>
    <t>Admitted but not matriculated (Fall)</t>
  </si>
  <si>
    <t>Total</t>
  </si>
  <si>
    <t>Target in budget</t>
  </si>
  <si>
    <t xml:space="preserve">Variance </t>
  </si>
  <si>
    <t>Buffer</t>
  </si>
  <si>
    <t>Date: 2026-05-08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</si>
</sst>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2"/>
      <color rgb="FFFF0000"/>
      <name val="Aptos Narrow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0" fillId="0" borderId="1" xfId="0" applyBorder="1"/>
    <xf numFmtId="0" fontId="1" fillId="0" borderId="1" xfId="0" applyFont="1" applyBorder="1" applyAlignment="1">
      <alignment horizontal="center" vertical="top" wrapText="1"/>
    </xf>
    <xf numFmtId="0" fontId="1" fillId="2" borderId="1" xfId="0" applyFont="1" applyFill="1" applyBorder="1" applyAlignment="1">
      <alignment horizontal="center" vertical="top" wrapText="1"/>
    </xf>
    <xf numFmtId="0" fontId="1" fillId="3" borderId="1" xfId="0" applyFont="1" applyFill="1" applyBorder="1"/>
    <xf numFmtId="0" fontId="0" fillId="3" borderId="1" xfId="0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0" fillId="3" borderId="1" xfId="0" applyFill="1" applyBorder="1"/>
    <xf numFmtId="0" fontId="0" fillId="3" borderId="0" xfId="0" applyFill="1" applyAlignment="1">
      <alignment horizontal="center"/>
    </xf>
    <xf numFmtId="0" fontId="1" fillId="0" borderId="0" xfId="0" applyFont="1" applyAlignment="1">
      <alignment horizontal="center" vertical="top" wrapText="1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640767-9E8C-EB45-8F54-98F3B5CE7280}">
  <dimension ref="A1:K10"/>
  <sheetViews>
    <sheetView tabSelected="1" workbookViewId="0">
      <selection activeCell="J38" sqref="J38"/>
    </sheetView>
  </sheetViews>
  <sheetFormatPr baseColWidth="10" defaultRowHeight="16" x14ac:dyDescent="0.2"/>
  <cols>
    <col min="2" max="2" width="11.33203125" customWidth="1"/>
    <col min="3" max="4" width="11.5" customWidth="1"/>
    <col min="5" max="5" width="12.5" customWidth="1"/>
    <col min="7" max="7" width="14.33203125" customWidth="1"/>
    <col min="8" max="8" width="0.6640625" customWidth="1"/>
  </cols>
  <sheetData>
    <row r="1" spans="1:11" s="1" customFormat="1" x14ac:dyDescent="0.2">
      <c r="A1" s="1" t="s">
        <v>16</v>
      </c>
    </row>
    <row r="2" spans="1:11" ht="68" x14ac:dyDescent="0.2">
      <c r="A2" s="4"/>
      <c r="B2" s="5" t="s">
        <v>6</v>
      </c>
      <c r="C2" s="5" t="s">
        <v>8</v>
      </c>
      <c r="D2" s="6" t="s">
        <v>7</v>
      </c>
      <c r="E2" s="5" t="s">
        <v>9</v>
      </c>
      <c r="F2" s="5" t="s">
        <v>11</v>
      </c>
      <c r="G2" s="5" t="s">
        <v>10</v>
      </c>
      <c r="H2" s="4"/>
      <c r="I2" s="5" t="s">
        <v>13</v>
      </c>
      <c r="J2" s="6" t="s">
        <v>14</v>
      </c>
      <c r="K2" s="12" t="s">
        <v>15</v>
      </c>
    </row>
    <row r="3" spans="1:11" x14ac:dyDescent="0.2">
      <c r="A3" s="1" t="s">
        <v>0</v>
      </c>
      <c r="B3" s="3">
        <v>3</v>
      </c>
      <c r="C3" s="3">
        <v>14</v>
      </c>
      <c r="D3" s="2">
        <f>SUM(B3:C3)</f>
        <v>17</v>
      </c>
      <c r="E3" s="3">
        <v>5</v>
      </c>
      <c r="F3" s="3">
        <v>3</v>
      </c>
      <c r="G3" s="3">
        <f t="shared" ref="G3:G8" si="0">SUM(E3:F3)</f>
        <v>8</v>
      </c>
      <c r="I3" s="3">
        <v>13</v>
      </c>
      <c r="J3" s="2">
        <f>D3-I3</f>
        <v>4</v>
      </c>
    </row>
    <row r="4" spans="1:11" x14ac:dyDescent="0.2">
      <c r="A4" s="1" t="s">
        <v>5</v>
      </c>
      <c r="B4" s="3">
        <v>12</v>
      </c>
      <c r="C4" s="3">
        <v>0</v>
      </c>
      <c r="D4" s="2">
        <f t="shared" ref="D4:D8" si="1">SUM(B4:C4)</f>
        <v>12</v>
      </c>
      <c r="E4" s="3">
        <v>4</v>
      </c>
      <c r="F4" s="3">
        <v>0</v>
      </c>
      <c r="G4" s="3">
        <f t="shared" si="0"/>
        <v>4</v>
      </c>
      <c r="I4" s="3">
        <v>10</v>
      </c>
      <c r="J4" s="2">
        <f t="shared" ref="J4:J8" si="2">D4-I4</f>
        <v>2</v>
      </c>
    </row>
    <row r="5" spans="1:11" x14ac:dyDescent="0.2">
      <c r="A5" s="1" t="s">
        <v>1</v>
      </c>
      <c r="B5" s="3">
        <v>0</v>
      </c>
      <c r="C5" s="3">
        <v>56</v>
      </c>
      <c r="D5" s="2">
        <f t="shared" si="1"/>
        <v>56</v>
      </c>
      <c r="E5" s="3">
        <v>0</v>
      </c>
      <c r="F5" s="3">
        <v>11</v>
      </c>
      <c r="G5" s="3">
        <f t="shared" si="0"/>
        <v>11</v>
      </c>
      <c r="I5" s="3">
        <v>60</v>
      </c>
      <c r="J5" s="2">
        <f t="shared" si="2"/>
        <v>-4</v>
      </c>
    </row>
    <row r="6" spans="1:11" x14ac:dyDescent="0.2">
      <c r="A6" s="1" t="s">
        <v>2</v>
      </c>
      <c r="B6" s="3">
        <v>4</v>
      </c>
      <c r="C6" s="3">
        <v>8</v>
      </c>
      <c r="D6" s="2">
        <f t="shared" si="1"/>
        <v>12</v>
      </c>
      <c r="E6" s="3">
        <v>0</v>
      </c>
      <c r="F6" s="3">
        <v>4</v>
      </c>
      <c r="G6" s="3">
        <f t="shared" si="0"/>
        <v>4</v>
      </c>
      <c r="I6" s="3">
        <v>13</v>
      </c>
      <c r="J6" s="2">
        <f t="shared" si="2"/>
        <v>-1</v>
      </c>
    </row>
    <row r="7" spans="1:11" x14ac:dyDescent="0.2">
      <c r="A7" s="1" t="s">
        <v>3</v>
      </c>
      <c r="B7" s="3">
        <v>5</v>
      </c>
      <c r="C7" s="3">
        <v>5</v>
      </c>
      <c r="D7" s="2">
        <f t="shared" si="1"/>
        <v>10</v>
      </c>
      <c r="E7" s="3">
        <v>1</v>
      </c>
      <c r="F7" s="3">
        <v>1</v>
      </c>
      <c r="G7" s="3">
        <f t="shared" si="0"/>
        <v>2</v>
      </c>
      <c r="I7" s="3">
        <v>18</v>
      </c>
      <c r="J7" s="2">
        <f t="shared" si="2"/>
        <v>-8</v>
      </c>
    </row>
    <row r="8" spans="1:11" x14ac:dyDescent="0.2">
      <c r="A8" s="1" t="s">
        <v>4</v>
      </c>
      <c r="B8" s="3">
        <v>3</v>
      </c>
      <c r="C8" s="3">
        <v>36</v>
      </c>
      <c r="D8" s="2">
        <f t="shared" si="1"/>
        <v>39</v>
      </c>
      <c r="E8" s="3">
        <v>2</v>
      </c>
      <c r="F8" s="3">
        <v>20</v>
      </c>
      <c r="G8" s="3">
        <f t="shared" si="0"/>
        <v>22</v>
      </c>
      <c r="I8" s="3">
        <v>25</v>
      </c>
      <c r="J8" s="2">
        <f t="shared" si="2"/>
        <v>14</v>
      </c>
    </row>
    <row r="9" spans="1:11" x14ac:dyDescent="0.2">
      <c r="A9" s="7" t="s">
        <v>12</v>
      </c>
      <c r="B9" s="8">
        <f t="shared" ref="B9:G9" si="3">SUM(B3:B8)</f>
        <v>27</v>
      </c>
      <c r="C9" s="8">
        <f t="shared" si="3"/>
        <v>119</v>
      </c>
      <c r="D9" s="9">
        <f t="shared" si="3"/>
        <v>146</v>
      </c>
      <c r="E9" s="8">
        <f t="shared" si="3"/>
        <v>12</v>
      </c>
      <c r="F9" s="8">
        <f t="shared" si="3"/>
        <v>39</v>
      </c>
      <c r="G9" s="8">
        <f t="shared" si="3"/>
        <v>51</v>
      </c>
      <c r="H9" s="10"/>
      <c r="I9" s="8">
        <f>SUM(I3:I8)</f>
        <v>139</v>
      </c>
      <c r="J9" s="9">
        <f>SUM(J3:J8)</f>
        <v>7</v>
      </c>
      <c r="K9" s="11">
        <f>I9*1.3</f>
        <v>180.70000000000002</v>
      </c>
    </row>
    <row r="10" spans="1:11" x14ac:dyDescent="0.2">
      <c r="K10" s="13">
        <f>K9-D9</f>
        <v>34.700000000000017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Ahn, Soyeon</dc:creator>
  <cp:lastModifiedBy>Ahn, Soyeon</cp:lastModifiedBy>
  <dcterms:created xsi:type="dcterms:W3CDTF">2026-03-09T14:04:16Z</dcterms:created>
  <dcterms:modified xsi:type="dcterms:W3CDTF">2026-05-08T19:44:04Z</dcterms:modified>
</cp:coreProperties>
</file>